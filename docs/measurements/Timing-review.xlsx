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mc:AlternateContent xmlns:mc="http://schemas.openxmlformats.org/markup-compatibility/2006">
    <mc:Choice Requires="x15">
      <x15ac:absPath xmlns:x15ac="http://schemas.microsoft.com/office/spreadsheetml/2010/11/ac" url="C:\Users\ching\Downloads\"/>
    </mc:Choice>
  </mc:AlternateContent>
  <xr:revisionPtr revIDLastSave="0" documentId="13_ncr:1_{0100CDB4-B03F-4B53-8487-DE443420D82D}" xr6:coauthVersionLast="47" xr6:coauthVersionMax="47" xr10:uidLastSave="{00000000-0000-0000-0000-000000000000}"/>
  <bookViews>
    <workbookView xWindow="-110" yWindow="-110" windowWidth="19420" windowHeight="10300" activeTab="1" xr2:uid="{00000000-000D-0000-FFFF-FFFF00000000}"/>
  </bookViews>
  <sheets>
    <sheet name="Loupe" sheetId="1" r:id="rId1"/>
    <sheet name="Manual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4" i="2" l="1"/>
  <c r="E23" i="2"/>
  <c r="E22" i="2"/>
  <c r="E21" i="2"/>
  <c r="E20" i="2"/>
  <c r="E19" i="2"/>
  <c r="E18" i="2"/>
  <c r="E17" i="2"/>
  <c r="E16" i="2"/>
  <c r="E15" i="2"/>
  <c r="E14" i="2"/>
  <c r="E13" i="2"/>
  <c r="E12" i="2"/>
  <c r="E11" i="2"/>
  <c r="E10" i="2"/>
  <c r="E9" i="2"/>
  <c r="E8" i="2"/>
  <c r="E7" i="2"/>
  <c r="E6" i="2"/>
  <c r="E5" i="2"/>
  <c r="E4" i="2"/>
  <c r="E3" i="2"/>
  <c r="E2" i="2"/>
  <c r="E68" i="1"/>
  <c r="E67" i="1"/>
  <c r="E66" i="1"/>
  <c r="E65" i="1"/>
  <c r="E64" i="1"/>
  <c r="E63" i="1"/>
  <c r="E62" i="1"/>
  <c r="E61" i="1"/>
  <c r="E60" i="1"/>
  <c r="E59" i="1"/>
  <c r="E58" i="1"/>
  <c r="E57" i="1"/>
  <c r="E56" i="1"/>
  <c r="E55" i="1"/>
  <c r="E54" i="1"/>
  <c r="E53" i="1"/>
  <c r="E52" i="1"/>
  <c r="E51" i="1"/>
  <c r="E50" i="1"/>
  <c r="E49" i="1"/>
  <c r="E48" i="1"/>
  <c r="E47" i="1"/>
  <c r="E46" i="1"/>
  <c r="E45" i="1"/>
  <c r="E44" i="1"/>
  <c r="E43" i="1"/>
  <c r="E42" i="1"/>
  <c r="E41" i="1"/>
  <c r="E40" i="1"/>
  <c r="E39" i="1"/>
  <c r="E38" i="1"/>
  <c r="E37" i="1"/>
  <c r="E36" i="1"/>
  <c r="E35" i="1"/>
  <c r="E34" i="1"/>
  <c r="E33" i="1"/>
  <c r="E32" i="1"/>
  <c r="E31" i="1"/>
  <c r="E30" i="1"/>
  <c r="E29" i="1"/>
  <c r="E28" i="1"/>
  <c r="E27" i="1"/>
  <c r="E26" i="1"/>
  <c r="E25" i="1"/>
  <c r="E24" i="1"/>
  <c r="E23" i="1"/>
  <c r="E22" i="1"/>
  <c r="E21" i="1"/>
  <c r="E20" i="1"/>
  <c r="E19" i="1"/>
  <c r="E18" i="1"/>
  <c r="E17" i="1"/>
  <c r="E16" i="1"/>
  <c r="E15" i="1"/>
  <c r="E14" i="1"/>
  <c r="E13" i="1"/>
  <c r="E12" i="1"/>
  <c r="E11" i="1"/>
  <c r="E10" i="1"/>
  <c r="E9" i="1"/>
  <c r="E8" i="1"/>
  <c r="E7" i="1"/>
  <c r="E6" i="1"/>
  <c r="E5" i="1"/>
  <c r="E4" i="1"/>
  <c r="E3" i="1"/>
  <c r="E2" i="1"/>
</calcChain>
</file>

<file path=xl/sharedStrings.xml><?xml version="1.0" encoding="utf-8"?>
<sst xmlns="http://schemas.openxmlformats.org/spreadsheetml/2006/main" count="508" uniqueCount="88">
  <si>
    <t>Case / round</t>
  </si>
  <si>
    <t>SME</t>
  </si>
  <si>
    <t>Start (s)</t>
  </si>
  <si>
    <t>Stop (s)</t>
  </si>
  <si>
    <t>Review time (s)</t>
  </si>
  <si>
    <t>Decision</t>
  </si>
  <si>
    <t>Reason</t>
  </si>
  <si>
    <t>Next step</t>
  </si>
  <si>
    <t>Saved delivery status</t>
  </si>
  <si>
    <t>L02 / 1</t>
  </si>
  <si>
    <t>Sunrise Bakery SAMPLE</t>
  </si>
  <si>
    <t>Reject</t>
  </si>
  <si>
    <t>Product, brand or manufacturer mismatch. Request a replacement.</t>
  </si>
  <si>
    <t>rejected</t>
  </si>
  <si>
    <t>L03 / 1</t>
  </si>
  <si>
    <t>L04 / 1</t>
  </si>
  <si>
    <t>Hold</t>
  </si>
  <si>
    <t>Label incomplete or halal mark not visible. Request product details.</t>
  </si>
  <si>
    <t>request_product_details</t>
  </si>
  <si>
    <t>on_hold</t>
  </si>
  <si>
    <t>L05 / 1</t>
  </si>
  <si>
    <t>L06 / 1</t>
  </si>
  <si>
    <t>Certificate expired. Request a current certificate.</t>
  </si>
  <si>
    <t>request_certificate</t>
  </si>
  <si>
    <t>L07 / 1</t>
  </si>
  <si>
    <t>Certificate excludes this product. Request a certificate covering it.</t>
  </si>
  <si>
    <t>L17 / 1</t>
  </si>
  <si>
    <t>L18 / 1</t>
  </si>
  <si>
    <t>Crescent Caterer SAMPLE</t>
  </si>
  <si>
    <t>L19 / 1</t>
  </si>
  <si>
    <t>L20 / 1</t>
  </si>
  <si>
    <t>L21 / 1</t>
  </si>
  <si>
    <t>L22 / 1</t>
  </si>
  <si>
    <t>L23 / 1</t>
  </si>
  <si>
    <t>L24 / 1</t>
  </si>
  <si>
    <t>L25 / 1</t>
  </si>
  <si>
    <t>L26 / 1</t>
  </si>
  <si>
    <t>L27 / 1</t>
  </si>
  <si>
    <t>L28 / 1</t>
  </si>
  <si>
    <t>L29 / 1</t>
  </si>
  <si>
    <t>L30 / 1</t>
  </si>
  <si>
    <t>L31 / 1</t>
  </si>
  <si>
    <t>L32 / 1</t>
  </si>
  <si>
    <t>L02 / 2</t>
  </si>
  <si>
    <t>L03 / 2</t>
  </si>
  <si>
    <t>L04 / 2</t>
  </si>
  <si>
    <t>L05 / 2</t>
  </si>
  <si>
    <t>L06 / 2</t>
  </si>
  <si>
    <t>L07 / 2</t>
  </si>
  <si>
    <t>L17 / 2</t>
  </si>
  <si>
    <t>L18 / 2</t>
  </si>
  <si>
    <t>L19 / 2</t>
  </si>
  <si>
    <t>L20 / 2</t>
  </si>
  <si>
    <t>L21 / 2</t>
  </si>
  <si>
    <t>L22 / 2</t>
  </si>
  <si>
    <t>L23 / 2</t>
  </si>
  <si>
    <t>L24 / 2</t>
  </si>
  <si>
    <t>L25 / 2</t>
  </si>
  <si>
    <t>L26 / 2</t>
  </si>
  <si>
    <t>L27 / 2</t>
  </si>
  <si>
    <t>L28 / 2</t>
  </si>
  <si>
    <t>L29 / 2</t>
  </si>
  <si>
    <t>L30 / 2</t>
  </si>
  <si>
    <t>L31 / 2</t>
  </si>
  <si>
    <t>L32 / 2</t>
  </si>
  <si>
    <t>L02 / 3</t>
  </si>
  <si>
    <t>L03 / 3</t>
  </si>
  <si>
    <t>L04 / 3</t>
  </si>
  <si>
    <t>L05 / 3</t>
  </si>
  <si>
    <t>L06 / 3</t>
  </si>
  <si>
    <t>L07 / 3</t>
  </si>
  <si>
    <t>L17 / 3</t>
  </si>
  <si>
    <t>L18 / 3</t>
  </si>
  <si>
    <t>L19 / 3</t>
  </si>
  <si>
    <t>L20 / 3</t>
  </si>
  <si>
    <t>L21 / 3</t>
  </si>
  <si>
    <t>L22 / 3</t>
  </si>
  <si>
    <t>L23 / 3</t>
  </si>
  <si>
    <t>L24 / 3</t>
  </si>
  <si>
    <t>L25 / 3</t>
  </si>
  <si>
    <t>L26 / 3</t>
  </si>
  <si>
    <t>L27 / 3</t>
  </si>
  <si>
    <t>L28 / 3</t>
  </si>
  <si>
    <t>L29 / 3</t>
  </si>
  <si>
    <t>L30 / 3</t>
  </si>
  <si>
    <t>L31 / 3</t>
  </si>
  <si>
    <t>L32 / 3</t>
  </si>
  <si>
    <t>Median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</si>
</sst>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vertical="center"/>
    </xf>
    <xf numFmtId="0" fontId="0" fillId="0" borderId="1" xfId="0" applyBorder="1" applyAlignment="1">
      <alignment vertical="center"/>
    </xf>
    <xf numFmtId="1" fontId="0" fillId="0" borderId="1" xfId="0" applyNumberFormat="1" applyBorder="1" applyAlignment="1">
      <alignment vertical="center"/>
    </xf>
    <xf numFmtId="0" fontId="0" fillId="0" borderId="2" xfId="0" applyBorder="1"/>
    <xf numFmtId="1" fontId="0" fillId="2" borderId="2" xfId="0" applyNumberFormat="1" applyFill="1" applyBorder="1" applyAlignment="1">
      <alignment vertical="center"/>
    </xf>
    <xf numFmtId="0" fontId="0" fillId="3" borderId="2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68"/>
  <sheetViews>
    <sheetView topLeftCell="A58" workbookViewId="0"/>
  </sheetViews>
  <sheetFormatPr defaultRowHeight="14.5" x14ac:dyDescent="0.35"/>
  <cols>
    <col min="1" max="1" width="11.36328125" customWidth="1"/>
    <col min="2" max="2" width="22" customWidth="1"/>
    <col min="3" max="3" width="7.36328125" customWidth="1"/>
    <col min="4" max="4" width="7.1796875" customWidth="1"/>
    <col min="5" max="5" width="13.6328125" customWidth="1"/>
    <col min="6" max="6" width="8.1796875" customWidth="1"/>
    <col min="7" max="7" width="90.6328125" customWidth="1"/>
    <col min="8" max="8" width="20.54296875" customWidth="1"/>
    <col min="9" max="9" width="18.6328125" customWidth="1"/>
    <col min="10" max="10" width="21.54296875" customWidth="1"/>
    <col min="11" max="11" width="22.7265625" customWidth="1"/>
    <col min="12" max="12" width="14" customWidth="1"/>
    <col min="13" max="13" width="5.6328125" customWidth="1"/>
  </cols>
  <sheetData>
    <row r="1" spans="1:9" x14ac:dyDescent="0.3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 x14ac:dyDescent="0.35">
      <c r="A2" s="3" t="s">
        <v>9</v>
      </c>
      <c r="B2" s="3" t="s">
        <v>10</v>
      </c>
      <c r="C2" s="4">
        <v>0</v>
      </c>
      <c r="D2" s="4">
        <v>26</v>
      </c>
      <c r="E2" s="4">
        <f t="shared" ref="E2:E33" si="0">D2-C2</f>
        <v>26</v>
      </c>
      <c r="F2" s="3" t="s">
        <v>11</v>
      </c>
      <c r="G2" s="3" t="s">
        <v>12</v>
      </c>
      <c r="H2" s="3"/>
      <c r="I2" s="3" t="s">
        <v>13</v>
      </c>
    </row>
    <row r="3" spans="1:9" x14ac:dyDescent="0.35">
      <c r="A3" s="3" t="s">
        <v>14</v>
      </c>
      <c r="B3" s="3" t="s">
        <v>10</v>
      </c>
      <c r="C3" s="4">
        <v>0</v>
      </c>
      <c r="D3" s="4">
        <v>36</v>
      </c>
      <c r="E3" s="4">
        <f t="shared" si="0"/>
        <v>36</v>
      </c>
      <c r="F3" s="3" t="s">
        <v>11</v>
      </c>
      <c r="G3" s="3" t="s">
        <v>12</v>
      </c>
      <c r="H3" s="3"/>
      <c r="I3" s="3" t="s">
        <v>13</v>
      </c>
    </row>
    <row r="4" spans="1:9" x14ac:dyDescent="0.35">
      <c r="A4" s="3" t="s">
        <v>15</v>
      </c>
      <c r="B4" s="3" t="s">
        <v>10</v>
      </c>
      <c r="C4" s="4">
        <v>0</v>
      </c>
      <c r="D4" s="4">
        <v>27</v>
      </c>
      <c r="E4" s="4">
        <f t="shared" si="0"/>
        <v>27</v>
      </c>
      <c r="F4" s="3" t="s">
        <v>16</v>
      </c>
      <c r="G4" s="3" t="s">
        <v>17</v>
      </c>
      <c r="H4" s="3" t="s">
        <v>18</v>
      </c>
      <c r="I4" s="3" t="s">
        <v>19</v>
      </c>
    </row>
    <row r="5" spans="1:9" x14ac:dyDescent="0.35">
      <c r="A5" s="3" t="s">
        <v>20</v>
      </c>
      <c r="B5" s="3" t="s">
        <v>10</v>
      </c>
      <c r="C5" s="4">
        <v>0</v>
      </c>
      <c r="D5" s="4">
        <v>35</v>
      </c>
      <c r="E5" s="4">
        <f t="shared" si="0"/>
        <v>35</v>
      </c>
      <c r="F5" s="3" t="s">
        <v>16</v>
      </c>
      <c r="G5" s="3" t="s">
        <v>17</v>
      </c>
      <c r="H5" s="3" t="s">
        <v>18</v>
      </c>
      <c r="I5" s="3" t="s">
        <v>19</v>
      </c>
    </row>
    <row r="6" spans="1:9" x14ac:dyDescent="0.35">
      <c r="A6" s="3" t="s">
        <v>21</v>
      </c>
      <c r="B6" s="3" t="s">
        <v>10</v>
      </c>
      <c r="C6" s="4">
        <v>0</v>
      </c>
      <c r="D6" s="4">
        <v>28</v>
      </c>
      <c r="E6" s="4">
        <f t="shared" si="0"/>
        <v>28</v>
      </c>
      <c r="F6" s="3" t="s">
        <v>16</v>
      </c>
      <c r="G6" s="3" t="s">
        <v>22</v>
      </c>
      <c r="H6" s="3" t="s">
        <v>23</v>
      </c>
      <c r="I6" s="3" t="s">
        <v>19</v>
      </c>
    </row>
    <row r="7" spans="1:9" x14ac:dyDescent="0.35">
      <c r="A7" s="3" t="s">
        <v>24</v>
      </c>
      <c r="B7" s="3" t="s">
        <v>10</v>
      </c>
      <c r="C7" s="4">
        <v>0</v>
      </c>
      <c r="D7" s="4">
        <v>34</v>
      </c>
      <c r="E7" s="4">
        <f t="shared" si="0"/>
        <v>34</v>
      </c>
      <c r="F7" s="3" t="s">
        <v>16</v>
      </c>
      <c r="G7" s="3" t="s">
        <v>25</v>
      </c>
      <c r="H7" s="3" t="s">
        <v>23</v>
      </c>
      <c r="I7" s="3" t="s">
        <v>19</v>
      </c>
    </row>
    <row r="8" spans="1:9" x14ac:dyDescent="0.35">
      <c r="A8" s="3" t="s">
        <v>26</v>
      </c>
      <c r="B8" s="3" t="s">
        <v>10</v>
      </c>
      <c r="C8" s="4">
        <v>0</v>
      </c>
      <c r="D8" s="4">
        <v>29</v>
      </c>
      <c r="E8" s="4">
        <f t="shared" si="0"/>
        <v>29</v>
      </c>
      <c r="F8" s="3" t="s">
        <v>11</v>
      </c>
      <c r="G8" s="3" t="s">
        <v>12</v>
      </c>
      <c r="H8" s="3"/>
      <c r="I8" s="3" t="s">
        <v>13</v>
      </c>
    </row>
    <row r="9" spans="1:9" x14ac:dyDescent="0.35">
      <c r="A9" s="3" t="s">
        <v>27</v>
      </c>
      <c r="B9" s="3" t="s">
        <v>28</v>
      </c>
      <c r="C9" s="4">
        <v>0</v>
      </c>
      <c r="D9" s="4">
        <v>33</v>
      </c>
      <c r="E9" s="4">
        <f t="shared" si="0"/>
        <v>33</v>
      </c>
      <c r="F9" s="3" t="s">
        <v>11</v>
      </c>
      <c r="G9" s="3" t="s">
        <v>12</v>
      </c>
      <c r="H9" s="3"/>
      <c r="I9" s="3" t="s">
        <v>13</v>
      </c>
    </row>
    <row r="10" spans="1:9" x14ac:dyDescent="0.35">
      <c r="A10" s="3" t="s">
        <v>29</v>
      </c>
      <c r="B10" s="3" t="s">
        <v>10</v>
      </c>
      <c r="C10" s="4">
        <v>0</v>
      </c>
      <c r="D10" s="4">
        <v>30</v>
      </c>
      <c r="E10" s="4">
        <f t="shared" si="0"/>
        <v>30</v>
      </c>
      <c r="F10" s="3" t="s">
        <v>11</v>
      </c>
      <c r="G10" s="3" t="s">
        <v>12</v>
      </c>
      <c r="H10" s="3"/>
      <c r="I10" s="3" t="s">
        <v>13</v>
      </c>
    </row>
    <row r="11" spans="1:9" x14ac:dyDescent="0.35">
      <c r="A11" s="3" t="s">
        <v>30</v>
      </c>
      <c r="B11" s="3" t="s">
        <v>10</v>
      </c>
      <c r="C11" s="4">
        <v>0</v>
      </c>
      <c r="D11" s="4">
        <v>32</v>
      </c>
      <c r="E11" s="4">
        <f t="shared" si="0"/>
        <v>32</v>
      </c>
      <c r="F11" s="3" t="s">
        <v>11</v>
      </c>
      <c r="G11" s="3" t="s">
        <v>12</v>
      </c>
      <c r="H11" s="3"/>
      <c r="I11" s="3" t="s">
        <v>13</v>
      </c>
    </row>
    <row r="12" spans="1:9" x14ac:dyDescent="0.35">
      <c r="A12" s="3" t="s">
        <v>31</v>
      </c>
      <c r="B12" s="3" t="s">
        <v>10</v>
      </c>
      <c r="C12" s="4">
        <v>0</v>
      </c>
      <c r="D12" s="4">
        <v>26</v>
      </c>
      <c r="E12" s="4">
        <f t="shared" si="0"/>
        <v>26</v>
      </c>
      <c r="F12" s="3" t="s">
        <v>11</v>
      </c>
      <c r="G12" s="3" t="s">
        <v>12</v>
      </c>
      <c r="H12" s="3"/>
      <c r="I12" s="3" t="s">
        <v>13</v>
      </c>
    </row>
    <row r="13" spans="1:9" x14ac:dyDescent="0.35">
      <c r="A13" s="3" t="s">
        <v>32</v>
      </c>
      <c r="B13" s="3" t="s">
        <v>28</v>
      </c>
      <c r="C13" s="4">
        <v>0</v>
      </c>
      <c r="D13" s="4">
        <v>36</v>
      </c>
      <c r="E13" s="4">
        <f t="shared" si="0"/>
        <v>36</v>
      </c>
      <c r="F13" s="3" t="s">
        <v>11</v>
      </c>
      <c r="G13" s="3" t="s">
        <v>12</v>
      </c>
      <c r="H13" s="3"/>
      <c r="I13" s="3" t="s">
        <v>13</v>
      </c>
    </row>
    <row r="14" spans="1:9" x14ac:dyDescent="0.35">
      <c r="A14" s="3" t="s">
        <v>33</v>
      </c>
      <c r="B14" s="3" t="s">
        <v>10</v>
      </c>
      <c r="C14" s="4">
        <v>0</v>
      </c>
      <c r="D14" s="4">
        <v>27</v>
      </c>
      <c r="E14" s="4">
        <f t="shared" si="0"/>
        <v>27</v>
      </c>
      <c r="F14" s="3" t="s">
        <v>11</v>
      </c>
      <c r="G14" s="3" t="s">
        <v>12</v>
      </c>
      <c r="H14" s="3"/>
      <c r="I14" s="3" t="s">
        <v>13</v>
      </c>
    </row>
    <row r="15" spans="1:9" x14ac:dyDescent="0.35">
      <c r="A15" s="3" t="s">
        <v>34</v>
      </c>
      <c r="B15" s="3" t="s">
        <v>10</v>
      </c>
      <c r="C15" s="4">
        <v>0</v>
      </c>
      <c r="D15" s="4">
        <v>35</v>
      </c>
      <c r="E15" s="4">
        <f t="shared" si="0"/>
        <v>35</v>
      </c>
      <c r="F15" s="3" t="s">
        <v>11</v>
      </c>
      <c r="G15" s="3" t="s">
        <v>12</v>
      </c>
      <c r="H15" s="3"/>
      <c r="I15" s="3" t="s">
        <v>13</v>
      </c>
    </row>
    <row r="16" spans="1:9" x14ac:dyDescent="0.35">
      <c r="A16" s="3" t="s">
        <v>35</v>
      </c>
      <c r="B16" s="3" t="s">
        <v>10</v>
      </c>
      <c r="C16" s="4">
        <v>0</v>
      </c>
      <c r="D16" s="4">
        <v>28</v>
      </c>
      <c r="E16" s="4">
        <f t="shared" si="0"/>
        <v>28</v>
      </c>
      <c r="F16" s="3" t="s">
        <v>16</v>
      </c>
      <c r="G16" s="3" t="s">
        <v>17</v>
      </c>
      <c r="H16" s="3" t="s">
        <v>18</v>
      </c>
      <c r="I16" s="3" t="s">
        <v>19</v>
      </c>
    </row>
    <row r="17" spans="1:9" x14ac:dyDescent="0.35">
      <c r="A17" s="3" t="s">
        <v>36</v>
      </c>
      <c r="B17" s="3" t="s">
        <v>28</v>
      </c>
      <c r="C17" s="4">
        <v>0</v>
      </c>
      <c r="D17" s="4">
        <v>34</v>
      </c>
      <c r="E17" s="4">
        <f t="shared" si="0"/>
        <v>34</v>
      </c>
      <c r="F17" s="3" t="s">
        <v>16</v>
      </c>
      <c r="G17" s="3" t="s">
        <v>17</v>
      </c>
      <c r="H17" s="3" t="s">
        <v>18</v>
      </c>
      <c r="I17" s="3" t="s">
        <v>19</v>
      </c>
    </row>
    <row r="18" spans="1:9" x14ac:dyDescent="0.35">
      <c r="A18" s="3" t="s">
        <v>37</v>
      </c>
      <c r="B18" s="3" t="s">
        <v>10</v>
      </c>
      <c r="C18" s="4">
        <v>0</v>
      </c>
      <c r="D18" s="4">
        <v>29</v>
      </c>
      <c r="E18" s="4">
        <f t="shared" si="0"/>
        <v>29</v>
      </c>
      <c r="F18" s="3" t="s">
        <v>16</v>
      </c>
      <c r="G18" s="3" t="s">
        <v>17</v>
      </c>
      <c r="H18" s="3" t="s">
        <v>18</v>
      </c>
      <c r="I18" s="3" t="s">
        <v>19</v>
      </c>
    </row>
    <row r="19" spans="1:9" x14ac:dyDescent="0.35">
      <c r="A19" s="3" t="s">
        <v>38</v>
      </c>
      <c r="B19" s="3" t="s">
        <v>10</v>
      </c>
      <c r="C19" s="4">
        <v>0</v>
      </c>
      <c r="D19" s="4">
        <v>33</v>
      </c>
      <c r="E19" s="4">
        <f t="shared" si="0"/>
        <v>33</v>
      </c>
      <c r="F19" s="3" t="s">
        <v>16</v>
      </c>
      <c r="G19" s="3" t="s">
        <v>17</v>
      </c>
      <c r="H19" s="3" t="s">
        <v>18</v>
      </c>
      <c r="I19" s="3" t="s">
        <v>19</v>
      </c>
    </row>
    <row r="20" spans="1:9" x14ac:dyDescent="0.35">
      <c r="A20" s="3" t="s">
        <v>39</v>
      </c>
      <c r="B20" s="3" t="s">
        <v>28</v>
      </c>
      <c r="C20" s="4">
        <v>0</v>
      </c>
      <c r="D20" s="4">
        <v>30</v>
      </c>
      <c r="E20" s="4">
        <f t="shared" si="0"/>
        <v>30</v>
      </c>
      <c r="F20" s="3" t="s">
        <v>16</v>
      </c>
      <c r="G20" s="3" t="s">
        <v>17</v>
      </c>
      <c r="H20" s="3" t="s">
        <v>18</v>
      </c>
      <c r="I20" s="3" t="s">
        <v>19</v>
      </c>
    </row>
    <row r="21" spans="1:9" x14ac:dyDescent="0.35">
      <c r="A21" s="3" t="s">
        <v>40</v>
      </c>
      <c r="B21" s="3" t="s">
        <v>10</v>
      </c>
      <c r="C21" s="4">
        <v>0</v>
      </c>
      <c r="D21" s="4">
        <v>32</v>
      </c>
      <c r="E21" s="4">
        <f t="shared" si="0"/>
        <v>32</v>
      </c>
      <c r="F21" s="3" t="s">
        <v>16</v>
      </c>
      <c r="G21" s="3" t="s">
        <v>17</v>
      </c>
      <c r="H21" s="3" t="s">
        <v>18</v>
      </c>
      <c r="I21" s="3" t="s">
        <v>19</v>
      </c>
    </row>
    <row r="22" spans="1:9" x14ac:dyDescent="0.35">
      <c r="A22" s="3" t="s">
        <v>41</v>
      </c>
      <c r="B22" s="3" t="s">
        <v>10</v>
      </c>
      <c r="C22" s="4">
        <v>0</v>
      </c>
      <c r="D22" s="4">
        <v>31</v>
      </c>
      <c r="E22" s="4">
        <f t="shared" si="0"/>
        <v>31</v>
      </c>
      <c r="F22" s="3" t="s">
        <v>16</v>
      </c>
      <c r="G22" s="3" t="s">
        <v>17</v>
      </c>
      <c r="H22" s="3" t="s">
        <v>18</v>
      </c>
      <c r="I22" s="3" t="s">
        <v>19</v>
      </c>
    </row>
    <row r="23" spans="1:9" x14ac:dyDescent="0.35">
      <c r="A23" s="3" t="s">
        <v>42</v>
      </c>
      <c r="B23" s="3" t="s">
        <v>10</v>
      </c>
      <c r="C23" s="4">
        <v>0</v>
      </c>
      <c r="D23" s="4">
        <v>31</v>
      </c>
      <c r="E23" s="4">
        <f t="shared" si="0"/>
        <v>31</v>
      </c>
      <c r="F23" s="3" t="s">
        <v>16</v>
      </c>
      <c r="G23" s="3" t="s">
        <v>17</v>
      </c>
      <c r="H23" s="3" t="s">
        <v>18</v>
      </c>
      <c r="I23" s="3" t="s">
        <v>19</v>
      </c>
    </row>
    <row r="24" spans="1:9" x14ac:dyDescent="0.35">
      <c r="A24" s="3" t="s">
        <v>43</v>
      </c>
      <c r="B24" s="3" t="s">
        <v>10</v>
      </c>
      <c r="C24" s="4">
        <v>0</v>
      </c>
      <c r="D24" s="4">
        <v>27</v>
      </c>
      <c r="E24" s="4">
        <f t="shared" si="0"/>
        <v>27</v>
      </c>
      <c r="F24" s="3" t="s">
        <v>11</v>
      </c>
      <c r="G24" s="3" t="s">
        <v>12</v>
      </c>
      <c r="H24" s="3"/>
      <c r="I24" s="3" t="s">
        <v>13</v>
      </c>
    </row>
    <row r="25" spans="1:9" x14ac:dyDescent="0.35">
      <c r="A25" s="3" t="s">
        <v>44</v>
      </c>
      <c r="B25" s="3" t="s">
        <v>10</v>
      </c>
      <c r="C25" s="4">
        <v>0</v>
      </c>
      <c r="D25" s="4">
        <v>35</v>
      </c>
      <c r="E25" s="4">
        <f t="shared" si="0"/>
        <v>35</v>
      </c>
      <c r="F25" s="3" t="s">
        <v>11</v>
      </c>
      <c r="G25" s="3" t="s">
        <v>12</v>
      </c>
      <c r="H25" s="3"/>
      <c r="I25" s="3" t="s">
        <v>13</v>
      </c>
    </row>
    <row r="26" spans="1:9" x14ac:dyDescent="0.35">
      <c r="A26" s="3" t="s">
        <v>45</v>
      </c>
      <c r="B26" s="3" t="s">
        <v>10</v>
      </c>
      <c r="C26" s="4">
        <v>0</v>
      </c>
      <c r="D26" s="4">
        <v>28</v>
      </c>
      <c r="E26" s="4">
        <f t="shared" si="0"/>
        <v>28</v>
      </c>
      <c r="F26" s="3" t="s">
        <v>16</v>
      </c>
      <c r="G26" s="3" t="s">
        <v>17</v>
      </c>
      <c r="H26" s="3" t="s">
        <v>18</v>
      </c>
      <c r="I26" s="3" t="s">
        <v>19</v>
      </c>
    </row>
    <row r="27" spans="1:9" x14ac:dyDescent="0.35">
      <c r="A27" s="3" t="s">
        <v>46</v>
      </c>
      <c r="B27" s="3" t="s">
        <v>10</v>
      </c>
      <c r="C27" s="4">
        <v>0</v>
      </c>
      <c r="D27" s="4">
        <v>34</v>
      </c>
      <c r="E27" s="4">
        <f t="shared" si="0"/>
        <v>34</v>
      </c>
      <c r="F27" s="3" t="s">
        <v>16</v>
      </c>
      <c r="G27" s="3" t="s">
        <v>17</v>
      </c>
      <c r="H27" s="3" t="s">
        <v>18</v>
      </c>
      <c r="I27" s="3" t="s">
        <v>19</v>
      </c>
    </row>
    <row r="28" spans="1:9" x14ac:dyDescent="0.35">
      <c r="A28" s="3" t="s">
        <v>47</v>
      </c>
      <c r="B28" s="3" t="s">
        <v>10</v>
      </c>
      <c r="C28" s="4">
        <v>0</v>
      </c>
      <c r="D28" s="4">
        <v>29</v>
      </c>
      <c r="E28" s="4">
        <f t="shared" si="0"/>
        <v>29</v>
      </c>
      <c r="F28" s="3" t="s">
        <v>16</v>
      </c>
      <c r="G28" s="3" t="s">
        <v>22</v>
      </c>
      <c r="H28" s="3" t="s">
        <v>23</v>
      </c>
      <c r="I28" s="3" t="s">
        <v>19</v>
      </c>
    </row>
    <row r="29" spans="1:9" x14ac:dyDescent="0.35">
      <c r="A29" s="3" t="s">
        <v>48</v>
      </c>
      <c r="B29" s="3" t="s">
        <v>10</v>
      </c>
      <c r="C29" s="4">
        <v>0</v>
      </c>
      <c r="D29" s="4">
        <v>33</v>
      </c>
      <c r="E29" s="4">
        <f t="shared" si="0"/>
        <v>33</v>
      </c>
      <c r="F29" s="3" t="s">
        <v>16</v>
      </c>
      <c r="G29" s="3" t="s">
        <v>25</v>
      </c>
      <c r="H29" s="3" t="s">
        <v>23</v>
      </c>
      <c r="I29" s="3" t="s">
        <v>19</v>
      </c>
    </row>
    <row r="30" spans="1:9" x14ac:dyDescent="0.35">
      <c r="A30" s="3" t="s">
        <v>49</v>
      </c>
      <c r="B30" s="3" t="s">
        <v>10</v>
      </c>
      <c r="C30" s="4">
        <v>0</v>
      </c>
      <c r="D30" s="4">
        <v>30</v>
      </c>
      <c r="E30" s="4">
        <f t="shared" si="0"/>
        <v>30</v>
      </c>
      <c r="F30" s="3" t="s">
        <v>11</v>
      </c>
      <c r="G30" s="3" t="s">
        <v>12</v>
      </c>
      <c r="H30" s="3"/>
      <c r="I30" s="3" t="s">
        <v>13</v>
      </c>
    </row>
    <row r="31" spans="1:9" x14ac:dyDescent="0.35">
      <c r="A31" s="3" t="s">
        <v>50</v>
      </c>
      <c r="B31" s="3" t="s">
        <v>28</v>
      </c>
      <c r="C31" s="4">
        <v>0</v>
      </c>
      <c r="D31" s="4">
        <v>32</v>
      </c>
      <c r="E31" s="4">
        <f t="shared" si="0"/>
        <v>32</v>
      </c>
      <c r="F31" s="3" t="s">
        <v>11</v>
      </c>
      <c r="G31" s="3" t="s">
        <v>12</v>
      </c>
      <c r="H31" s="3"/>
      <c r="I31" s="3" t="s">
        <v>13</v>
      </c>
    </row>
    <row r="32" spans="1:9" x14ac:dyDescent="0.35">
      <c r="A32" s="3" t="s">
        <v>51</v>
      </c>
      <c r="B32" s="3" t="s">
        <v>10</v>
      </c>
      <c r="C32" s="4">
        <v>0</v>
      </c>
      <c r="D32" s="4">
        <v>31</v>
      </c>
      <c r="E32" s="4">
        <f t="shared" si="0"/>
        <v>31</v>
      </c>
      <c r="F32" s="3" t="s">
        <v>11</v>
      </c>
      <c r="G32" s="3" t="s">
        <v>12</v>
      </c>
      <c r="H32" s="3"/>
      <c r="I32" s="3" t="s">
        <v>13</v>
      </c>
    </row>
    <row r="33" spans="1:9" x14ac:dyDescent="0.35">
      <c r="A33" s="3" t="s">
        <v>52</v>
      </c>
      <c r="B33" s="3" t="s">
        <v>10</v>
      </c>
      <c r="C33" s="4">
        <v>0</v>
      </c>
      <c r="D33" s="4">
        <v>31</v>
      </c>
      <c r="E33" s="4">
        <f t="shared" si="0"/>
        <v>31</v>
      </c>
      <c r="F33" s="3" t="s">
        <v>11</v>
      </c>
      <c r="G33" s="3" t="s">
        <v>12</v>
      </c>
      <c r="H33" s="3"/>
      <c r="I33" s="3" t="s">
        <v>13</v>
      </c>
    </row>
    <row r="34" spans="1:9" x14ac:dyDescent="0.35">
      <c r="A34" s="3" t="s">
        <v>53</v>
      </c>
      <c r="B34" s="3" t="s">
        <v>10</v>
      </c>
      <c r="C34" s="4">
        <v>0</v>
      </c>
      <c r="D34" s="4">
        <v>27</v>
      </c>
      <c r="E34" s="4">
        <f t="shared" ref="E34:E65" si="1">D34-C34</f>
        <v>27</v>
      </c>
      <c r="F34" s="3" t="s">
        <v>11</v>
      </c>
      <c r="G34" s="3" t="s">
        <v>12</v>
      </c>
      <c r="H34" s="3"/>
      <c r="I34" s="3" t="s">
        <v>13</v>
      </c>
    </row>
    <row r="35" spans="1:9" x14ac:dyDescent="0.35">
      <c r="A35" s="3" t="s">
        <v>54</v>
      </c>
      <c r="B35" s="3" t="s">
        <v>28</v>
      </c>
      <c r="C35" s="4">
        <v>0</v>
      </c>
      <c r="D35" s="4">
        <v>35</v>
      </c>
      <c r="E35" s="4">
        <f t="shared" si="1"/>
        <v>35</v>
      </c>
      <c r="F35" s="3" t="s">
        <v>11</v>
      </c>
      <c r="G35" s="3" t="s">
        <v>12</v>
      </c>
      <c r="H35" s="3"/>
      <c r="I35" s="3" t="s">
        <v>13</v>
      </c>
    </row>
    <row r="36" spans="1:9" x14ac:dyDescent="0.35">
      <c r="A36" s="3" t="s">
        <v>55</v>
      </c>
      <c r="B36" s="3" t="s">
        <v>10</v>
      </c>
      <c r="C36" s="4">
        <v>0</v>
      </c>
      <c r="D36" s="4">
        <v>28</v>
      </c>
      <c r="E36" s="4">
        <f t="shared" si="1"/>
        <v>28</v>
      </c>
      <c r="F36" s="3" t="s">
        <v>11</v>
      </c>
      <c r="G36" s="3" t="s">
        <v>12</v>
      </c>
      <c r="H36" s="3"/>
      <c r="I36" s="3" t="s">
        <v>13</v>
      </c>
    </row>
    <row r="37" spans="1:9" x14ac:dyDescent="0.35">
      <c r="A37" s="3" t="s">
        <v>56</v>
      </c>
      <c r="B37" s="3" t="s">
        <v>10</v>
      </c>
      <c r="C37" s="4">
        <v>0</v>
      </c>
      <c r="D37" s="4">
        <v>34</v>
      </c>
      <c r="E37" s="4">
        <f t="shared" si="1"/>
        <v>34</v>
      </c>
      <c r="F37" s="3" t="s">
        <v>11</v>
      </c>
      <c r="G37" s="3" t="s">
        <v>12</v>
      </c>
      <c r="H37" s="3"/>
      <c r="I37" s="3" t="s">
        <v>13</v>
      </c>
    </row>
    <row r="38" spans="1:9" x14ac:dyDescent="0.35">
      <c r="A38" s="3" t="s">
        <v>57</v>
      </c>
      <c r="B38" s="3" t="s">
        <v>10</v>
      </c>
      <c r="C38" s="4">
        <v>0</v>
      </c>
      <c r="D38" s="4">
        <v>29</v>
      </c>
      <c r="E38" s="4">
        <f t="shared" si="1"/>
        <v>29</v>
      </c>
      <c r="F38" s="3" t="s">
        <v>16</v>
      </c>
      <c r="G38" s="3" t="s">
        <v>17</v>
      </c>
      <c r="H38" s="3" t="s">
        <v>18</v>
      </c>
      <c r="I38" s="3" t="s">
        <v>19</v>
      </c>
    </row>
    <row r="39" spans="1:9" x14ac:dyDescent="0.35">
      <c r="A39" s="3" t="s">
        <v>58</v>
      </c>
      <c r="B39" s="3" t="s">
        <v>28</v>
      </c>
      <c r="C39" s="4">
        <v>0</v>
      </c>
      <c r="D39" s="4">
        <v>33</v>
      </c>
      <c r="E39" s="4">
        <f t="shared" si="1"/>
        <v>33</v>
      </c>
      <c r="F39" s="3" t="s">
        <v>16</v>
      </c>
      <c r="G39" s="3" t="s">
        <v>17</v>
      </c>
      <c r="H39" s="3" t="s">
        <v>18</v>
      </c>
      <c r="I39" s="3" t="s">
        <v>19</v>
      </c>
    </row>
    <row r="40" spans="1:9" x14ac:dyDescent="0.35">
      <c r="A40" s="3" t="s">
        <v>59</v>
      </c>
      <c r="B40" s="3" t="s">
        <v>10</v>
      </c>
      <c r="C40" s="4">
        <v>0</v>
      </c>
      <c r="D40" s="4">
        <v>30</v>
      </c>
      <c r="E40" s="4">
        <f t="shared" si="1"/>
        <v>30</v>
      </c>
      <c r="F40" s="3" t="s">
        <v>16</v>
      </c>
      <c r="G40" s="3" t="s">
        <v>17</v>
      </c>
      <c r="H40" s="3" t="s">
        <v>18</v>
      </c>
      <c r="I40" s="3" t="s">
        <v>19</v>
      </c>
    </row>
    <row r="41" spans="1:9" x14ac:dyDescent="0.35">
      <c r="A41" s="3" t="s">
        <v>60</v>
      </c>
      <c r="B41" s="3" t="s">
        <v>10</v>
      </c>
      <c r="C41" s="4">
        <v>0</v>
      </c>
      <c r="D41" s="4">
        <v>32</v>
      </c>
      <c r="E41" s="4">
        <f t="shared" si="1"/>
        <v>32</v>
      </c>
      <c r="F41" s="3" t="s">
        <v>16</v>
      </c>
      <c r="G41" s="3" t="s">
        <v>17</v>
      </c>
      <c r="H41" s="3" t="s">
        <v>18</v>
      </c>
      <c r="I41" s="3" t="s">
        <v>19</v>
      </c>
    </row>
    <row r="42" spans="1:9" x14ac:dyDescent="0.35">
      <c r="A42" s="3" t="s">
        <v>61</v>
      </c>
      <c r="B42" s="3" t="s">
        <v>28</v>
      </c>
      <c r="C42" s="4">
        <v>0</v>
      </c>
      <c r="D42" s="4">
        <v>31</v>
      </c>
      <c r="E42" s="4">
        <f t="shared" si="1"/>
        <v>31</v>
      </c>
      <c r="F42" s="3" t="s">
        <v>16</v>
      </c>
      <c r="G42" s="3" t="s">
        <v>17</v>
      </c>
      <c r="H42" s="3" t="s">
        <v>18</v>
      </c>
      <c r="I42" s="3" t="s">
        <v>19</v>
      </c>
    </row>
    <row r="43" spans="1:9" x14ac:dyDescent="0.35">
      <c r="A43" s="3" t="s">
        <v>62</v>
      </c>
      <c r="B43" s="3" t="s">
        <v>10</v>
      </c>
      <c r="C43" s="4">
        <v>0</v>
      </c>
      <c r="D43" s="4">
        <v>31</v>
      </c>
      <c r="E43" s="4">
        <f t="shared" si="1"/>
        <v>31</v>
      </c>
      <c r="F43" s="3" t="s">
        <v>16</v>
      </c>
      <c r="G43" s="3" t="s">
        <v>17</v>
      </c>
      <c r="H43" s="3" t="s">
        <v>18</v>
      </c>
      <c r="I43" s="3" t="s">
        <v>19</v>
      </c>
    </row>
    <row r="44" spans="1:9" x14ac:dyDescent="0.35">
      <c r="A44" s="3" t="s">
        <v>63</v>
      </c>
      <c r="B44" s="3" t="s">
        <v>10</v>
      </c>
      <c r="C44" s="4">
        <v>0</v>
      </c>
      <c r="D44" s="4">
        <v>32</v>
      </c>
      <c r="E44" s="4">
        <f t="shared" si="1"/>
        <v>32</v>
      </c>
      <c r="F44" s="3" t="s">
        <v>16</v>
      </c>
      <c r="G44" s="3" t="s">
        <v>17</v>
      </c>
      <c r="H44" s="3" t="s">
        <v>18</v>
      </c>
      <c r="I44" s="3" t="s">
        <v>19</v>
      </c>
    </row>
    <row r="45" spans="1:9" x14ac:dyDescent="0.35">
      <c r="A45" s="3" t="s">
        <v>64</v>
      </c>
      <c r="B45" s="3" t="s">
        <v>10</v>
      </c>
      <c r="C45" s="4">
        <v>0</v>
      </c>
      <c r="D45" s="4">
        <v>30</v>
      </c>
      <c r="E45" s="4">
        <f t="shared" si="1"/>
        <v>30</v>
      </c>
      <c r="F45" s="3" t="s">
        <v>16</v>
      </c>
      <c r="G45" s="3" t="s">
        <v>17</v>
      </c>
      <c r="H45" s="3" t="s">
        <v>18</v>
      </c>
      <c r="I45" s="3" t="s">
        <v>19</v>
      </c>
    </row>
    <row r="46" spans="1:9" x14ac:dyDescent="0.35">
      <c r="A46" s="3" t="s">
        <v>65</v>
      </c>
      <c r="B46" s="3" t="s">
        <v>10</v>
      </c>
      <c r="C46" s="4">
        <v>0</v>
      </c>
      <c r="D46" s="4">
        <v>25</v>
      </c>
      <c r="E46" s="4">
        <f t="shared" si="1"/>
        <v>25</v>
      </c>
      <c r="F46" s="3" t="s">
        <v>11</v>
      </c>
      <c r="G46" s="3" t="s">
        <v>12</v>
      </c>
      <c r="H46" s="3"/>
      <c r="I46" s="3" t="s">
        <v>13</v>
      </c>
    </row>
    <row r="47" spans="1:9" x14ac:dyDescent="0.35">
      <c r="A47" s="3" t="s">
        <v>66</v>
      </c>
      <c r="B47" s="3" t="s">
        <v>10</v>
      </c>
      <c r="C47" s="4">
        <v>0</v>
      </c>
      <c r="D47" s="4">
        <v>37</v>
      </c>
      <c r="E47" s="4">
        <f t="shared" si="1"/>
        <v>37</v>
      </c>
      <c r="F47" s="3" t="s">
        <v>11</v>
      </c>
      <c r="G47" s="3" t="s">
        <v>12</v>
      </c>
      <c r="H47" s="3"/>
      <c r="I47" s="3" t="s">
        <v>13</v>
      </c>
    </row>
    <row r="48" spans="1:9" x14ac:dyDescent="0.35">
      <c r="A48" s="3" t="s">
        <v>67</v>
      </c>
      <c r="B48" s="3" t="s">
        <v>10</v>
      </c>
      <c r="C48" s="4">
        <v>0</v>
      </c>
      <c r="D48" s="4">
        <v>26</v>
      </c>
      <c r="E48" s="4">
        <f t="shared" si="1"/>
        <v>26</v>
      </c>
      <c r="F48" s="3" t="s">
        <v>16</v>
      </c>
      <c r="G48" s="3" t="s">
        <v>17</v>
      </c>
      <c r="H48" s="3" t="s">
        <v>18</v>
      </c>
      <c r="I48" s="3" t="s">
        <v>19</v>
      </c>
    </row>
    <row r="49" spans="1:9" x14ac:dyDescent="0.35">
      <c r="A49" s="3" t="s">
        <v>68</v>
      </c>
      <c r="B49" s="3" t="s">
        <v>10</v>
      </c>
      <c r="C49" s="4">
        <v>0</v>
      </c>
      <c r="D49" s="4">
        <v>36</v>
      </c>
      <c r="E49" s="4">
        <f t="shared" si="1"/>
        <v>36</v>
      </c>
      <c r="F49" s="3" t="s">
        <v>16</v>
      </c>
      <c r="G49" s="3" t="s">
        <v>17</v>
      </c>
      <c r="H49" s="3" t="s">
        <v>18</v>
      </c>
      <c r="I49" s="3" t="s">
        <v>19</v>
      </c>
    </row>
    <row r="50" spans="1:9" x14ac:dyDescent="0.35">
      <c r="A50" s="3" t="s">
        <v>69</v>
      </c>
      <c r="B50" s="3" t="s">
        <v>10</v>
      </c>
      <c r="C50" s="4">
        <v>0</v>
      </c>
      <c r="D50" s="4">
        <v>27</v>
      </c>
      <c r="E50" s="4">
        <f t="shared" si="1"/>
        <v>27</v>
      </c>
      <c r="F50" s="3" t="s">
        <v>16</v>
      </c>
      <c r="G50" s="3" t="s">
        <v>22</v>
      </c>
      <c r="H50" s="3" t="s">
        <v>23</v>
      </c>
      <c r="I50" s="3" t="s">
        <v>19</v>
      </c>
    </row>
    <row r="51" spans="1:9" x14ac:dyDescent="0.35">
      <c r="A51" s="3" t="s">
        <v>70</v>
      </c>
      <c r="B51" s="3" t="s">
        <v>10</v>
      </c>
      <c r="C51" s="4">
        <v>0</v>
      </c>
      <c r="D51" s="4">
        <v>35</v>
      </c>
      <c r="E51" s="4">
        <f t="shared" si="1"/>
        <v>35</v>
      </c>
      <c r="F51" s="3" t="s">
        <v>16</v>
      </c>
      <c r="G51" s="3" t="s">
        <v>25</v>
      </c>
      <c r="H51" s="3" t="s">
        <v>23</v>
      </c>
      <c r="I51" s="3" t="s">
        <v>19</v>
      </c>
    </row>
    <row r="52" spans="1:9" x14ac:dyDescent="0.35">
      <c r="A52" s="3" t="s">
        <v>71</v>
      </c>
      <c r="B52" s="3" t="s">
        <v>10</v>
      </c>
      <c r="C52" s="4">
        <v>0</v>
      </c>
      <c r="D52" s="4">
        <v>28</v>
      </c>
      <c r="E52" s="4">
        <f t="shared" si="1"/>
        <v>28</v>
      </c>
      <c r="F52" s="3" t="s">
        <v>11</v>
      </c>
      <c r="G52" s="3" t="s">
        <v>12</v>
      </c>
      <c r="H52" s="3"/>
      <c r="I52" s="3" t="s">
        <v>13</v>
      </c>
    </row>
    <row r="53" spans="1:9" x14ac:dyDescent="0.35">
      <c r="A53" s="3" t="s">
        <v>72</v>
      </c>
      <c r="B53" s="3" t="s">
        <v>28</v>
      </c>
      <c r="C53" s="4">
        <v>0</v>
      </c>
      <c r="D53" s="4">
        <v>34</v>
      </c>
      <c r="E53" s="4">
        <f t="shared" si="1"/>
        <v>34</v>
      </c>
      <c r="F53" s="3" t="s">
        <v>11</v>
      </c>
      <c r="G53" s="3" t="s">
        <v>12</v>
      </c>
      <c r="H53" s="3"/>
      <c r="I53" s="3" t="s">
        <v>13</v>
      </c>
    </row>
    <row r="54" spans="1:9" x14ac:dyDescent="0.35">
      <c r="A54" s="3" t="s">
        <v>73</v>
      </c>
      <c r="B54" s="3" t="s">
        <v>10</v>
      </c>
      <c r="C54" s="4">
        <v>0</v>
      </c>
      <c r="D54" s="4">
        <v>29</v>
      </c>
      <c r="E54" s="4">
        <f t="shared" si="1"/>
        <v>29</v>
      </c>
      <c r="F54" s="3" t="s">
        <v>11</v>
      </c>
      <c r="G54" s="3" t="s">
        <v>12</v>
      </c>
      <c r="H54" s="3"/>
      <c r="I54" s="3" t="s">
        <v>13</v>
      </c>
    </row>
    <row r="55" spans="1:9" x14ac:dyDescent="0.35">
      <c r="A55" s="3" t="s">
        <v>74</v>
      </c>
      <c r="B55" s="3" t="s">
        <v>10</v>
      </c>
      <c r="C55" s="4">
        <v>0</v>
      </c>
      <c r="D55" s="4">
        <v>33</v>
      </c>
      <c r="E55" s="4">
        <f t="shared" si="1"/>
        <v>33</v>
      </c>
      <c r="F55" s="3" t="s">
        <v>11</v>
      </c>
      <c r="G55" s="3" t="s">
        <v>12</v>
      </c>
      <c r="H55" s="3"/>
      <c r="I55" s="3" t="s">
        <v>13</v>
      </c>
    </row>
    <row r="56" spans="1:9" x14ac:dyDescent="0.35">
      <c r="A56" s="3" t="s">
        <v>75</v>
      </c>
      <c r="B56" s="3" t="s">
        <v>10</v>
      </c>
      <c r="C56" s="4">
        <v>0</v>
      </c>
      <c r="D56" s="4">
        <v>25</v>
      </c>
      <c r="E56" s="4">
        <f t="shared" si="1"/>
        <v>25</v>
      </c>
      <c r="F56" s="3" t="s">
        <v>11</v>
      </c>
      <c r="G56" s="3" t="s">
        <v>12</v>
      </c>
      <c r="H56" s="3"/>
      <c r="I56" s="3" t="s">
        <v>13</v>
      </c>
    </row>
    <row r="57" spans="1:9" x14ac:dyDescent="0.35">
      <c r="A57" s="3" t="s">
        <v>76</v>
      </c>
      <c r="B57" s="3" t="s">
        <v>28</v>
      </c>
      <c r="C57" s="4">
        <v>0</v>
      </c>
      <c r="D57" s="4">
        <v>37</v>
      </c>
      <c r="E57" s="4">
        <f t="shared" si="1"/>
        <v>37</v>
      </c>
      <c r="F57" s="3" t="s">
        <v>11</v>
      </c>
      <c r="G57" s="3" t="s">
        <v>12</v>
      </c>
      <c r="H57" s="3"/>
      <c r="I57" s="3" t="s">
        <v>13</v>
      </c>
    </row>
    <row r="58" spans="1:9" x14ac:dyDescent="0.35">
      <c r="A58" s="3" t="s">
        <v>77</v>
      </c>
      <c r="B58" s="3" t="s">
        <v>10</v>
      </c>
      <c r="C58" s="4">
        <v>0</v>
      </c>
      <c r="D58" s="4">
        <v>26</v>
      </c>
      <c r="E58" s="4">
        <f t="shared" si="1"/>
        <v>26</v>
      </c>
      <c r="F58" s="3" t="s">
        <v>11</v>
      </c>
      <c r="G58" s="3" t="s">
        <v>12</v>
      </c>
      <c r="H58" s="3"/>
      <c r="I58" s="3" t="s">
        <v>13</v>
      </c>
    </row>
    <row r="59" spans="1:9" x14ac:dyDescent="0.35">
      <c r="A59" s="3" t="s">
        <v>78</v>
      </c>
      <c r="B59" s="3" t="s">
        <v>10</v>
      </c>
      <c r="C59" s="4">
        <v>0</v>
      </c>
      <c r="D59" s="4">
        <v>36</v>
      </c>
      <c r="E59" s="4">
        <f t="shared" si="1"/>
        <v>36</v>
      </c>
      <c r="F59" s="3" t="s">
        <v>11</v>
      </c>
      <c r="G59" s="3" t="s">
        <v>12</v>
      </c>
      <c r="H59" s="3"/>
      <c r="I59" s="3" t="s">
        <v>13</v>
      </c>
    </row>
    <row r="60" spans="1:9" x14ac:dyDescent="0.35">
      <c r="A60" s="3" t="s">
        <v>79</v>
      </c>
      <c r="B60" s="3" t="s">
        <v>10</v>
      </c>
      <c r="C60" s="4">
        <v>0</v>
      </c>
      <c r="D60" s="4">
        <v>27</v>
      </c>
      <c r="E60" s="4">
        <f t="shared" si="1"/>
        <v>27</v>
      </c>
      <c r="F60" s="3" t="s">
        <v>16</v>
      </c>
      <c r="G60" s="3" t="s">
        <v>17</v>
      </c>
      <c r="H60" s="3" t="s">
        <v>18</v>
      </c>
      <c r="I60" s="3" t="s">
        <v>19</v>
      </c>
    </row>
    <row r="61" spans="1:9" x14ac:dyDescent="0.35">
      <c r="A61" s="3" t="s">
        <v>80</v>
      </c>
      <c r="B61" s="3" t="s">
        <v>28</v>
      </c>
      <c r="C61" s="4">
        <v>0</v>
      </c>
      <c r="D61" s="4">
        <v>35</v>
      </c>
      <c r="E61" s="4">
        <f t="shared" si="1"/>
        <v>35</v>
      </c>
      <c r="F61" s="3" t="s">
        <v>16</v>
      </c>
      <c r="G61" s="3" t="s">
        <v>17</v>
      </c>
      <c r="H61" s="3" t="s">
        <v>18</v>
      </c>
      <c r="I61" s="3" t="s">
        <v>19</v>
      </c>
    </row>
    <row r="62" spans="1:9" x14ac:dyDescent="0.35">
      <c r="A62" s="3" t="s">
        <v>81</v>
      </c>
      <c r="B62" s="3" t="s">
        <v>10</v>
      </c>
      <c r="C62" s="4">
        <v>0</v>
      </c>
      <c r="D62" s="4">
        <v>28</v>
      </c>
      <c r="E62" s="4">
        <f t="shared" si="1"/>
        <v>28</v>
      </c>
      <c r="F62" s="3" t="s">
        <v>16</v>
      </c>
      <c r="G62" s="3" t="s">
        <v>17</v>
      </c>
      <c r="H62" s="3" t="s">
        <v>18</v>
      </c>
      <c r="I62" s="3" t="s">
        <v>19</v>
      </c>
    </row>
    <row r="63" spans="1:9" x14ac:dyDescent="0.35">
      <c r="A63" s="3" t="s">
        <v>82</v>
      </c>
      <c r="B63" s="3" t="s">
        <v>10</v>
      </c>
      <c r="C63" s="4">
        <v>0</v>
      </c>
      <c r="D63" s="4">
        <v>34</v>
      </c>
      <c r="E63" s="4">
        <f t="shared" si="1"/>
        <v>34</v>
      </c>
      <c r="F63" s="3" t="s">
        <v>16</v>
      </c>
      <c r="G63" s="3" t="s">
        <v>17</v>
      </c>
      <c r="H63" s="3" t="s">
        <v>18</v>
      </c>
      <c r="I63" s="3" t="s">
        <v>19</v>
      </c>
    </row>
    <row r="64" spans="1:9" x14ac:dyDescent="0.35">
      <c r="A64" s="3" t="s">
        <v>83</v>
      </c>
      <c r="B64" s="3" t="s">
        <v>28</v>
      </c>
      <c r="C64" s="4">
        <v>0</v>
      </c>
      <c r="D64" s="4">
        <v>29</v>
      </c>
      <c r="E64" s="4">
        <f t="shared" si="1"/>
        <v>29</v>
      </c>
      <c r="F64" s="3" t="s">
        <v>16</v>
      </c>
      <c r="G64" s="3" t="s">
        <v>17</v>
      </c>
      <c r="H64" s="3" t="s">
        <v>18</v>
      </c>
      <c r="I64" s="3" t="s">
        <v>19</v>
      </c>
    </row>
    <row r="65" spans="1:9" x14ac:dyDescent="0.35">
      <c r="A65" s="3" t="s">
        <v>84</v>
      </c>
      <c r="B65" s="3" t="s">
        <v>10</v>
      </c>
      <c r="C65" s="4">
        <v>0</v>
      </c>
      <c r="D65" s="4">
        <v>33</v>
      </c>
      <c r="E65" s="4">
        <f t="shared" si="1"/>
        <v>33</v>
      </c>
      <c r="F65" s="3" t="s">
        <v>16</v>
      </c>
      <c r="G65" s="3" t="s">
        <v>17</v>
      </c>
      <c r="H65" s="3" t="s">
        <v>18</v>
      </c>
      <c r="I65" s="3" t="s">
        <v>19</v>
      </c>
    </row>
    <row r="66" spans="1:9" x14ac:dyDescent="0.35">
      <c r="A66" s="3" t="s">
        <v>85</v>
      </c>
      <c r="B66" s="3" t="s">
        <v>10</v>
      </c>
      <c r="C66" s="4">
        <v>0</v>
      </c>
      <c r="D66" s="4">
        <v>30</v>
      </c>
      <c r="E66" s="4">
        <f t="shared" ref="E66:E67" si="2">D66-C66</f>
        <v>30</v>
      </c>
      <c r="F66" s="3" t="s">
        <v>16</v>
      </c>
      <c r="G66" s="3" t="s">
        <v>17</v>
      </c>
      <c r="H66" s="3" t="s">
        <v>18</v>
      </c>
      <c r="I66" s="3" t="s">
        <v>19</v>
      </c>
    </row>
    <row r="67" spans="1:9" x14ac:dyDescent="0.35">
      <c r="A67" s="3" t="s">
        <v>86</v>
      </c>
      <c r="B67" s="3" t="s">
        <v>10</v>
      </c>
      <c r="C67" s="4">
        <v>0</v>
      </c>
      <c r="D67" s="4">
        <v>32</v>
      </c>
      <c r="E67" s="4">
        <f t="shared" si="2"/>
        <v>32</v>
      </c>
      <c r="F67" s="3" t="s">
        <v>16</v>
      </c>
      <c r="G67" s="3" t="s">
        <v>17</v>
      </c>
      <c r="H67" s="3" t="s">
        <v>18</v>
      </c>
      <c r="I67" s="3" t="s">
        <v>19</v>
      </c>
    </row>
    <row r="68" spans="1:9" x14ac:dyDescent="0.35">
      <c r="D68" s="5" t="s">
        <v>87</v>
      </c>
      <c r="E68" s="6">
        <f>MEDIAN(E2:E67)</f>
        <v>31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25"/>
  <sheetViews>
    <sheetView tabSelected="1" topLeftCell="B1" workbookViewId="0">
      <selection activeCell="G10" sqref="G10"/>
    </sheetView>
  </sheetViews>
  <sheetFormatPr defaultRowHeight="14.5" x14ac:dyDescent="0.35"/>
  <cols>
    <col min="1" max="1" width="11.36328125" customWidth="1"/>
    <col min="2" max="2" width="22" customWidth="1"/>
    <col min="3" max="3" width="7.36328125" customWidth="1"/>
    <col min="4" max="4" width="7.1796875" customWidth="1"/>
    <col min="5" max="5" width="13.6328125" customWidth="1"/>
    <col min="6" max="6" width="13" customWidth="1"/>
    <col min="7" max="7" width="55.6328125" bestFit="1" customWidth="1"/>
    <col min="8" max="8" width="20.54296875" customWidth="1"/>
    <col min="9" max="9" width="18.6328125" customWidth="1"/>
  </cols>
  <sheetData>
    <row r="1" spans="1:9" x14ac:dyDescent="0.3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 x14ac:dyDescent="0.35">
      <c r="A2" s="3" t="s">
        <v>9</v>
      </c>
      <c r="B2" s="3" t="s">
        <v>10</v>
      </c>
      <c r="C2" s="4">
        <v>0</v>
      </c>
      <c r="D2" s="4">
        <v>270</v>
      </c>
      <c r="E2" s="4">
        <f t="shared" ref="E2:E23" si="0">IF(COUNT(C2:D2)&lt;2,"",D2-C2)</f>
        <v>270</v>
      </c>
      <c r="F2" s="3" t="s">
        <v>11</v>
      </c>
      <c r="G2" s="3" t="s">
        <v>12</v>
      </c>
      <c r="H2" s="3"/>
      <c r="I2" s="3" t="s">
        <v>13</v>
      </c>
    </row>
    <row r="3" spans="1:9" x14ac:dyDescent="0.35">
      <c r="A3" s="3" t="s">
        <v>14</v>
      </c>
      <c r="B3" s="3" t="s">
        <v>10</v>
      </c>
      <c r="C3" s="4">
        <v>0</v>
      </c>
      <c r="D3" s="4">
        <v>290</v>
      </c>
      <c r="E3" s="4">
        <f t="shared" si="0"/>
        <v>290</v>
      </c>
      <c r="F3" s="3" t="s">
        <v>11</v>
      </c>
      <c r="G3" s="3" t="s">
        <v>12</v>
      </c>
      <c r="H3" s="3"/>
      <c r="I3" s="3" t="s">
        <v>13</v>
      </c>
    </row>
    <row r="4" spans="1:9" x14ac:dyDescent="0.35">
      <c r="A4" s="3" t="s">
        <v>15</v>
      </c>
      <c r="B4" s="3" t="s">
        <v>10</v>
      </c>
      <c r="C4" s="4">
        <v>0</v>
      </c>
      <c r="D4" s="4">
        <v>410</v>
      </c>
      <c r="E4" s="4">
        <f t="shared" si="0"/>
        <v>410</v>
      </c>
      <c r="F4" s="3" t="s">
        <v>16</v>
      </c>
      <c r="G4" s="3" t="s">
        <v>17</v>
      </c>
      <c r="H4" s="3" t="s">
        <v>18</v>
      </c>
      <c r="I4" s="3" t="s">
        <v>19</v>
      </c>
    </row>
    <row r="5" spans="1:9" x14ac:dyDescent="0.35">
      <c r="A5" s="3" t="s">
        <v>20</v>
      </c>
      <c r="B5" s="3" t="s">
        <v>10</v>
      </c>
      <c r="C5" s="4">
        <v>0</v>
      </c>
      <c r="D5" s="4">
        <v>380</v>
      </c>
      <c r="E5" s="4">
        <f t="shared" si="0"/>
        <v>380</v>
      </c>
      <c r="F5" s="3" t="s">
        <v>16</v>
      </c>
      <c r="G5" s="3" t="s">
        <v>17</v>
      </c>
      <c r="H5" s="3" t="s">
        <v>18</v>
      </c>
      <c r="I5" s="3" t="s">
        <v>19</v>
      </c>
    </row>
    <row r="6" spans="1:9" x14ac:dyDescent="0.35">
      <c r="A6" s="3" t="s">
        <v>21</v>
      </c>
      <c r="B6" s="3" t="s">
        <v>10</v>
      </c>
      <c r="C6" s="4">
        <v>0</v>
      </c>
      <c r="D6" s="4">
        <v>318</v>
      </c>
      <c r="E6" s="4">
        <f t="shared" si="0"/>
        <v>318</v>
      </c>
      <c r="F6" s="3" t="s">
        <v>16</v>
      </c>
      <c r="G6" s="3" t="s">
        <v>22</v>
      </c>
      <c r="H6" s="3" t="s">
        <v>23</v>
      </c>
      <c r="I6" s="3" t="s">
        <v>19</v>
      </c>
    </row>
    <row r="7" spans="1:9" x14ac:dyDescent="0.35">
      <c r="A7" s="3" t="s">
        <v>24</v>
      </c>
      <c r="B7" s="3" t="s">
        <v>10</v>
      </c>
      <c r="C7" s="4">
        <v>0</v>
      </c>
      <c r="D7" s="4">
        <v>370</v>
      </c>
      <c r="E7" s="4">
        <f t="shared" si="0"/>
        <v>370</v>
      </c>
      <c r="F7" s="3" t="s">
        <v>16</v>
      </c>
      <c r="G7" s="3" t="s">
        <v>25</v>
      </c>
      <c r="H7" s="3" t="s">
        <v>23</v>
      </c>
      <c r="I7" s="3" t="s">
        <v>19</v>
      </c>
    </row>
    <row r="8" spans="1:9" x14ac:dyDescent="0.35">
      <c r="A8" s="3" t="s">
        <v>26</v>
      </c>
      <c r="B8" s="3" t="s">
        <v>10</v>
      </c>
      <c r="C8" s="4">
        <v>0</v>
      </c>
      <c r="D8" s="4">
        <v>230</v>
      </c>
      <c r="E8" s="4">
        <f t="shared" si="0"/>
        <v>230</v>
      </c>
      <c r="F8" s="3" t="s">
        <v>11</v>
      </c>
      <c r="G8" s="3" t="s">
        <v>12</v>
      </c>
      <c r="H8" s="3"/>
      <c r="I8" s="3" t="s">
        <v>13</v>
      </c>
    </row>
    <row r="9" spans="1:9" x14ac:dyDescent="0.35">
      <c r="A9" s="3" t="s">
        <v>27</v>
      </c>
      <c r="B9" s="3" t="s">
        <v>28</v>
      </c>
      <c r="C9" s="4">
        <v>0</v>
      </c>
      <c r="D9" s="4">
        <v>285</v>
      </c>
      <c r="E9" s="4">
        <f t="shared" si="0"/>
        <v>285</v>
      </c>
      <c r="F9" s="3" t="s">
        <v>11</v>
      </c>
      <c r="G9" s="3" t="s">
        <v>12</v>
      </c>
      <c r="H9" s="3"/>
      <c r="I9" s="3" t="s">
        <v>13</v>
      </c>
    </row>
    <row r="10" spans="1:9" x14ac:dyDescent="0.35">
      <c r="A10" s="3" t="s">
        <v>29</v>
      </c>
      <c r="B10" s="3" t="s">
        <v>10</v>
      </c>
      <c r="C10" s="4">
        <v>0</v>
      </c>
      <c r="D10" s="4">
        <v>295</v>
      </c>
      <c r="E10" s="4">
        <f t="shared" si="0"/>
        <v>295</v>
      </c>
      <c r="F10" s="3" t="s">
        <v>11</v>
      </c>
      <c r="G10" s="3" t="s">
        <v>12</v>
      </c>
      <c r="H10" s="3"/>
      <c r="I10" s="3" t="s">
        <v>13</v>
      </c>
    </row>
    <row r="11" spans="1:9" x14ac:dyDescent="0.35">
      <c r="A11" s="3" t="s">
        <v>30</v>
      </c>
      <c r="B11" s="3" t="s">
        <v>10</v>
      </c>
      <c r="C11" s="4">
        <v>0</v>
      </c>
      <c r="D11" s="4">
        <v>300</v>
      </c>
      <c r="E11" s="4">
        <f t="shared" si="0"/>
        <v>300</v>
      </c>
      <c r="F11" s="3" t="s">
        <v>11</v>
      </c>
      <c r="G11" s="3" t="s">
        <v>12</v>
      </c>
      <c r="H11" s="3"/>
      <c r="I11" s="3" t="s">
        <v>13</v>
      </c>
    </row>
    <row r="12" spans="1:9" x14ac:dyDescent="0.35">
      <c r="A12" s="3" t="s">
        <v>31</v>
      </c>
      <c r="B12" s="3" t="s">
        <v>10</v>
      </c>
      <c r="C12" s="4">
        <v>0</v>
      </c>
      <c r="D12" s="4">
        <v>310</v>
      </c>
      <c r="E12" s="4">
        <f t="shared" si="0"/>
        <v>310</v>
      </c>
      <c r="F12" s="3" t="s">
        <v>11</v>
      </c>
      <c r="G12" s="3" t="s">
        <v>12</v>
      </c>
      <c r="H12" s="3"/>
      <c r="I12" s="3" t="s">
        <v>13</v>
      </c>
    </row>
    <row r="13" spans="1:9" x14ac:dyDescent="0.35">
      <c r="A13" s="3" t="s">
        <v>32</v>
      </c>
      <c r="B13" s="3" t="s">
        <v>28</v>
      </c>
      <c r="C13" s="4">
        <v>0</v>
      </c>
      <c r="D13" s="4">
        <v>245</v>
      </c>
      <c r="E13" s="4">
        <f t="shared" si="0"/>
        <v>245</v>
      </c>
      <c r="F13" s="3" t="s">
        <v>11</v>
      </c>
      <c r="G13" s="3" t="s">
        <v>12</v>
      </c>
      <c r="H13" s="3"/>
      <c r="I13" s="3" t="s">
        <v>13</v>
      </c>
    </row>
    <row r="14" spans="1:9" x14ac:dyDescent="0.35">
      <c r="A14" s="3" t="s">
        <v>33</v>
      </c>
      <c r="B14" s="3" t="s">
        <v>10</v>
      </c>
      <c r="C14" s="4">
        <v>0</v>
      </c>
      <c r="D14" s="4">
        <v>315</v>
      </c>
      <c r="E14" s="4">
        <f t="shared" si="0"/>
        <v>315</v>
      </c>
      <c r="F14" s="3" t="s">
        <v>11</v>
      </c>
      <c r="G14" s="3" t="s">
        <v>12</v>
      </c>
      <c r="H14" s="3"/>
      <c r="I14" s="3" t="s">
        <v>13</v>
      </c>
    </row>
    <row r="15" spans="1:9" x14ac:dyDescent="0.35">
      <c r="A15" s="3" t="s">
        <v>34</v>
      </c>
      <c r="B15" s="3" t="s">
        <v>10</v>
      </c>
      <c r="C15" s="4">
        <v>0</v>
      </c>
      <c r="D15" s="4">
        <v>319</v>
      </c>
      <c r="E15" s="4">
        <f t="shared" si="0"/>
        <v>319</v>
      </c>
      <c r="F15" s="3" t="s">
        <v>11</v>
      </c>
      <c r="G15" s="3" t="s">
        <v>12</v>
      </c>
      <c r="H15" s="3"/>
      <c r="I15" s="3" t="s">
        <v>13</v>
      </c>
    </row>
    <row r="16" spans="1:9" x14ac:dyDescent="0.35">
      <c r="A16" s="3" t="s">
        <v>35</v>
      </c>
      <c r="B16" s="3" t="s">
        <v>10</v>
      </c>
      <c r="C16" s="4">
        <v>0</v>
      </c>
      <c r="D16" s="4">
        <v>321</v>
      </c>
      <c r="E16" s="4">
        <f t="shared" si="0"/>
        <v>321</v>
      </c>
      <c r="F16" s="3" t="s">
        <v>16</v>
      </c>
      <c r="G16" s="3" t="s">
        <v>17</v>
      </c>
      <c r="H16" s="3" t="s">
        <v>18</v>
      </c>
      <c r="I16" s="3" t="s">
        <v>19</v>
      </c>
    </row>
    <row r="17" spans="1:9" x14ac:dyDescent="0.35">
      <c r="A17" s="3" t="s">
        <v>36</v>
      </c>
      <c r="B17" s="3" t="s">
        <v>28</v>
      </c>
      <c r="C17" s="4">
        <v>0</v>
      </c>
      <c r="D17" s="4">
        <v>330</v>
      </c>
      <c r="E17" s="4">
        <f t="shared" si="0"/>
        <v>330</v>
      </c>
      <c r="F17" s="3" t="s">
        <v>16</v>
      </c>
      <c r="G17" s="3" t="s">
        <v>17</v>
      </c>
      <c r="H17" s="3" t="s">
        <v>18</v>
      </c>
      <c r="I17" s="3" t="s">
        <v>19</v>
      </c>
    </row>
    <row r="18" spans="1:9" x14ac:dyDescent="0.35">
      <c r="A18" s="3" t="s">
        <v>37</v>
      </c>
      <c r="B18" s="3" t="s">
        <v>10</v>
      </c>
      <c r="C18" s="4">
        <v>0</v>
      </c>
      <c r="D18" s="4">
        <v>350</v>
      </c>
      <c r="E18" s="4">
        <f t="shared" si="0"/>
        <v>350</v>
      </c>
      <c r="F18" s="3" t="s">
        <v>16</v>
      </c>
      <c r="G18" s="3" t="s">
        <v>17</v>
      </c>
      <c r="H18" s="3" t="s">
        <v>18</v>
      </c>
      <c r="I18" s="3" t="s">
        <v>19</v>
      </c>
    </row>
    <row r="19" spans="1:9" x14ac:dyDescent="0.35">
      <c r="A19" s="3" t="s">
        <v>38</v>
      </c>
      <c r="B19" s="3" t="s">
        <v>10</v>
      </c>
      <c r="C19" s="4">
        <v>0</v>
      </c>
      <c r="D19" s="4">
        <v>360</v>
      </c>
      <c r="E19" s="4">
        <f t="shared" si="0"/>
        <v>360</v>
      </c>
      <c r="F19" s="3" t="s">
        <v>16</v>
      </c>
      <c r="G19" s="3" t="s">
        <v>17</v>
      </c>
      <c r="H19" s="3" t="s">
        <v>18</v>
      </c>
      <c r="I19" s="3" t="s">
        <v>19</v>
      </c>
    </row>
    <row r="20" spans="1:9" x14ac:dyDescent="0.35">
      <c r="A20" s="3" t="s">
        <v>39</v>
      </c>
      <c r="B20" s="3" t="s">
        <v>28</v>
      </c>
      <c r="C20" s="4">
        <v>0</v>
      </c>
      <c r="D20" s="4">
        <v>425</v>
      </c>
      <c r="E20" s="4">
        <f t="shared" si="0"/>
        <v>425</v>
      </c>
      <c r="F20" s="3" t="s">
        <v>16</v>
      </c>
      <c r="G20" s="3" t="s">
        <v>17</v>
      </c>
      <c r="H20" s="3" t="s">
        <v>18</v>
      </c>
      <c r="I20" s="3" t="s">
        <v>19</v>
      </c>
    </row>
    <row r="21" spans="1:9" x14ac:dyDescent="0.35">
      <c r="A21" s="3" t="s">
        <v>40</v>
      </c>
      <c r="B21" s="3" t="s">
        <v>10</v>
      </c>
      <c r="C21" s="4">
        <v>0</v>
      </c>
      <c r="D21" s="4">
        <v>400</v>
      </c>
      <c r="E21" s="4">
        <f t="shared" si="0"/>
        <v>400</v>
      </c>
      <c r="F21" s="3" t="s">
        <v>16</v>
      </c>
      <c r="G21" s="3" t="s">
        <v>17</v>
      </c>
      <c r="H21" s="3" t="s">
        <v>18</v>
      </c>
      <c r="I21" s="3" t="s">
        <v>19</v>
      </c>
    </row>
    <row r="22" spans="1:9" x14ac:dyDescent="0.35">
      <c r="A22" s="3" t="s">
        <v>41</v>
      </c>
      <c r="B22" s="3" t="s">
        <v>10</v>
      </c>
      <c r="C22" s="4">
        <v>0</v>
      </c>
      <c r="D22" s="4">
        <v>455</v>
      </c>
      <c r="E22" s="4">
        <f t="shared" si="0"/>
        <v>455</v>
      </c>
      <c r="F22" s="3" t="s">
        <v>16</v>
      </c>
      <c r="G22" s="3" t="s">
        <v>17</v>
      </c>
      <c r="H22" s="3" t="s">
        <v>18</v>
      </c>
      <c r="I22" s="3" t="s">
        <v>19</v>
      </c>
    </row>
    <row r="23" spans="1:9" x14ac:dyDescent="0.35">
      <c r="A23" s="3" t="s">
        <v>42</v>
      </c>
      <c r="B23" s="3" t="s">
        <v>10</v>
      </c>
      <c r="C23" s="4">
        <v>0</v>
      </c>
      <c r="D23" s="4">
        <v>470</v>
      </c>
      <c r="E23" s="4">
        <f t="shared" si="0"/>
        <v>470</v>
      </c>
      <c r="F23" s="3" t="s">
        <v>16</v>
      </c>
      <c r="G23" s="3" t="s">
        <v>17</v>
      </c>
      <c r="H23" s="3" t="s">
        <v>18</v>
      </c>
      <c r="I23" s="3" t="s">
        <v>19</v>
      </c>
    </row>
    <row r="24" spans="1:9" ht="15" thickBot="1" x14ac:dyDescent="0.4">
      <c r="D24" s="5" t="s">
        <v>87</v>
      </c>
      <c r="E24" s="7">
        <f>MEDIAN(E2:E23)</f>
        <v>320</v>
      </c>
    </row>
    <row r="25" spans="1:9" ht="15" thickTop="1" x14ac:dyDescent="0.3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Loupe</vt:lpstr>
      <vt:lpstr>Manual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chingyangtan</cp:lastModifiedBy>
  <dcterms:modified xsi:type="dcterms:W3CDTF">2026-10-31T08:26:39Z</dcterms:modified>
</cp:coreProperties>
</file>